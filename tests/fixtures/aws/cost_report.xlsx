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ucas.figg@cohesity.com/cca-cloudshell/tests/fixtures/aws/"/>
    </mc:Choice>
  </mc:AlternateContent>
  <xr:revisionPtr revIDLastSave="0" documentId="13_ncr:1_{7476031A-A4F4-9649-96F9-23188743AADE}" xr6:coauthVersionLast="47" xr6:coauthVersionMax="47" xr10:uidLastSave="{00000000-0000-0000-0000-000000000000}"/>
  <bookViews>
    <workbookView xWindow="14260" yWindow="600" windowWidth="33900" windowHeight="26500" activeTab="6" xr2:uid="{00000000-000D-0000-FFFF-FFFF00000000}"/>
  </bookViews>
  <sheets>
    <sheet name="Executive Summary" sheetId="1" r:id="rId1"/>
    <sheet name="Cost by Provider" sheetId="2" r:id="rId2"/>
    <sheet name="Cost by Category" sheetId="3" r:id="rId3"/>
    <sheet name="Cost by Service" sheetId="4" r:id="rId4"/>
    <sheet name="Monthly Trends" sheetId="5" r:id="rId5"/>
    <sheet name="Cost Optimization" sheetId="6" r:id="rId6"/>
    <sheet name="Raw Data" sheetId="7" r:id="rId7"/>
  </sheets>
  <definedNames>
    <definedName name="_xlnm._FilterDatabase" localSheetId="6" hidden="1">'Raw Data'!$A$3:$K$27</definedName>
  </definedNames>
  <calcPr calcId="0"/>
</workbook>
</file>

<file path=xl/sharedStrings.xml><?xml version="1.0" encoding="utf-8"?>
<sst xmlns="http://schemas.openxmlformats.org/spreadsheetml/2006/main" count="272" uniqueCount="85">
  <si>
    <t>Backup &amp; Snapshot Cost Analysis</t>
  </si>
  <si>
    <t>Report Period:</t>
  </si>
  <si>
    <t>2025-11-01 to 2026-01-31</t>
  </si>
  <si>
    <t>Generated:</t>
  </si>
  <si>
    <t>2026-02-11T21:14:20Z</t>
  </si>
  <si>
    <t>Providers:</t>
  </si>
  <si>
    <t>AWS</t>
  </si>
  <si>
    <t>KEY METRICS</t>
  </si>
  <si>
    <t>TOTAL COST</t>
  </si>
  <si>
    <t>RECORDS ANALYZED</t>
  </si>
  <si>
    <t>CLOUD PROVIDERS</t>
  </si>
  <si>
    <t>$33,847.23</t>
  </si>
  <si>
    <t>COST BY PROVIDER</t>
  </si>
  <si>
    <t>COST BY CATEGORY</t>
  </si>
  <si>
    <t>Provider</t>
  </si>
  <si>
    <t>Cost</t>
  </si>
  <si>
    <t>% of Total</t>
  </si>
  <si>
    <t>Category</t>
  </si>
  <si>
    <t>Backup Storage</t>
  </si>
  <si>
    <t>Data Transfer</t>
  </si>
  <si>
    <t>Ec2 Snapshot</t>
  </si>
  <si>
    <t>Rds Snapshot</t>
  </si>
  <si>
    <t>S3 Storage</t>
  </si>
  <si>
    <t>Cost Analysis by Cloud Provider</t>
  </si>
  <si>
    <t>AWS - $31,709.18</t>
  </si>
  <si>
    <t>Service</t>
  </si>
  <si>
    <t>% of Provider</t>
  </si>
  <si>
    <t>Amazon EC2 EBS - Snapshot</t>
  </si>
  <si>
    <t>AWS Backup Storage</t>
  </si>
  <si>
    <t>Amazon RDS - Snapshot</t>
  </si>
  <si>
    <t>Amazon S3 - Standard</t>
  </si>
  <si>
    <t>AWS Data Transfer</t>
  </si>
  <si>
    <t>AWS Backup Vault Storage - Cold</t>
  </si>
  <si>
    <t>Amazon S3 - Glacier</t>
  </si>
  <si>
    <t>Cost Analysis by Backup Category</t>
  </si>
  <si>
    <t>Backup Storage - $7,905.11</t>
  </si>
  <si>
    <t>% of Category</t>
  </si>
  <si>
    <t>Data Transfer - $1,537.01</t>
  </si>
  <si>
    <t>Ec2 Snapshot - $14,464.08</t>
  </si>
  <si>
    <t>Rds Snapshot - $4,369.68</t>
  </si>
  <si>
    <t>S3 Storage - $3,433.30</t>
  </si>
  <si>
    <t>Detailed Service Cost Breakdown</t>
  </si>
  <si>
    <t>Monthly Cost Trends</t>
  </si>
  <si>
    <t>Month</t>
  </si>
  <si>
    <t>Total</t>
  </si>
  <si>
    <t>2025-11</t>
  </si>
  <si>
    <t>2025-12</t>
  </si>
  <si>
    <t>2026-01</t>
  </si>
  <si>
    <t>Cost Optimization Recommendations</t>
  </si>
  <si>
    <t>Total Potential Savings:</t>
  </si>
  <si>
    <t>Recommendations: 2</t>
  </si>
  <si>
    <t>Priority</t>
  </si>
  <si>
    <t>Recommendation</t>
  </si>
  <si>
    <t>Current Cost</t>
  </si>
  <si>
    <t>Potential Savings</t>
  </si>
  <si>
    <t>Est. Reduction</t>
  </si>
  <si>
    <t>Description</t>
  </si>
  <si>
    <t>High</t>
  </si>
  <si>
    <t>Review Snapshot Retention</t>
  </si>
  <si>
    <t>Snapshots</t>
  </si>
  <si>
    <t>Many organizations retain snapshots longer than necessary. Review snapshot retention policies and delete outdated snapshots.</t>
  </si>
  <si>
    <t>Medium</t>
  </si>
  <si>
    <t>Optimize Backup Vault Storage</t>
  </si>
  <si>
    <t>Consider using lifecycle policies to transition older backups to cold storage tiers (e.g., Glacier, Archive).</t>
  </si>
  <si>
    <t>Raw Cost Records</t>
  </si>
  <si>
    <t>Account Id</t>
  </si>
  <si>
    <t>Currency</t>
  </si>
  <si>
    <t>Period Start</t>
  </si>
  <si>
    <t>Period End</t>
  </si>
  <si>
    <t>Usage Quantity</t>
  </si>
  <si>
    <t>Usage Unit</t>
  </si>
  <si>
    <t>Region</t>
  </si>
  <si>
    <t>aws</t>
  </si>
  <si>
    <t>ec2_snapshot</t>
  </si>
  <si>
    <t>2025-11-01</t>
  </si>
  <si>
    <t>GB-Month</t>
  </si>
  <si>
    <t>us-east-1</t>
  </si>
  <si>
    <t>2025-12-01</t>
  </si>
  <si>
    <t>2026-01-01</t>
  </si>
  <si>
    <t>us-west-2</t>
  </si>
  <si>
    <t>rds_snapshot</t>
  </si>
  <si>
    <t>backup_storage</t>
  </si>
  <si>
    <t>s3_storage</t>
  </si>
  <si>
    <t>data_transfer</t>
  </si>
  <si>
    <t>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</si>
</sst>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0.0%"/>
  </numFmts>
  <fonts count="11" x14ac:knownFonts="1">
    <font>
      <sz val="11"/>
      <color theme="1"/>
      <name val="Calibri"/>
      <family val="2"/>
      <scheme val="minor"/>
    </font>
    <font>
      <b/>
      <sz val="18"/>
      <color rgb="FF1F4E79"/>
      <name val="Calibri"/>
      <family val="2"/>
    </font>
    <font>
      <b/>
      <sz val="11"/>
      <name val="Calibri"/>
      <family val="2"/>
    </font>
    <font>
      <b/>
      <sz val="14"/>
      <color rgb="FF1F4E79"/>
      <name val="Calibri"/>
      <family val="2"/>
    </font>
    <font>
      <sz val="10"/>
      <color rgb="FF666666"/>
      <name val="Calibri"/>
      <family val="2"/>
    </font>
    <font>
      <b/>
      <sz val="24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4"/>
      <color rgb="FF2E75B6"/>
      <name val="Calibri"/>
      <family val="2"/>
    </font>
    <font>
      <b/>
      <sz val="16"/>
      <color rgb="FF2E7D32"/>
      <name val="Calibri"/>
      <family val="2"/>
    </font>
    <font>
      <b/>
      <sz val="11"/>
      <color rgb="FF2E7D32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7" fillId="2" borderId="1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7" fillId="3" borderId="1" xfId="0" applyFont="1" applyFill="1" applyBorder="1"/>
    <xf numFmtId="0" fontId="0" fillId="4" borderId="1" xfId="0" applyFill="1" applyBorder="1"/>
    <xf numFmtId="164" fontId="0" fillId="4" borderId="1" xfId="0" applyNumberFormat="1" applyFill="1" applyBorder="1"/>
    <xf numFmtId="165" fontId="0" fillId="4" borderId="1" xfId="0" applyNumberFormat="1" applyFill="1" applyBorder="1"/>
    <xf numFmtId="0" fontId="7" fillId="2" borderId="1" xfId="0" applyFont="1" applyFill="1" applyBorder="1"/>
    <xf numFmtId="164" fontId="2" fillId="0" borderId="1" xfId="0" applyNumberFormat="1" applyFont="1" applyBorder="1"/>
    <xf numFmtId="0" fontId="2" fillId="0" borderId="0" xfId="0" applyFont="1"/>
    <xf numFmtId="164" fontId="9" fillId="0" borderId="0" xfId="0" applyNumberFormat="1" applyFont="1"/>
    <xf numFmtId="0" fontId="7" fillId="2" borderId="1" xfId="0" applyFont="1" applyFill="1" applyBorder="1" applyAlignment="1">
      <alignment horizontal="center" wrapText="1"/>
    </xf>
    <xf numFmtId="0" fontId="0" fillId="5" borderId="1" xfId="0" applyFill="1" applyBorder="1" applyAlignment="1">
      <alignment horizontal="center"/>
    </xf>
    <xf numFmtId="164" fontId="10" fillId="0" borderId="1" xfId="0" applyNumberFormat="1" applyFont="1" applyBorder="1"/>
    <xf numFmtId="9" fontId="0" fillId="0" borderId="1" xfId="0" applyNumberFormat="1" applyBorder="1"/>
    <xf numFmtId="0" fontId="0" fillId="0" borderId="1" xfId="0" applyBorder="1" applyAlignment="1">
      <alignment wrapText="1"/>
    </xf>
    <xf numFmtId="0" fontId="0" fillId="4" borderId="1" xfId="0" applyFill="1" applyBorder="1" applyAlignment="1">
      <alignment horizontal="center"/>
    </xf>
    <xf numFmtId="0" fontId="1" fillId="0" borderId="0" xfId="0" applyFont="1"/>
    <xf numFmtId="0" fontId="0" fillId="0" borderId="0" xfId="0"/>
    <xf numFmtId="0" fontId="8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Cost Trend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Trends'!$B$3</c:f>
              <c:strCache>
                <c:ptCount val="1"/>
                <c:pt idx="0">
                  <c:v>AWS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'Monthly Trends'!$A$4:$A$6</c:f>
              <c:strCache>
                <c:ptCount val="3"/>
                <c:pt idx="0">
                  <c:v>2025-11</c:v>
                </c:pt>
                <c:pt idx="1">
                  <c:v>2025-12</c:v>
                </c:pt>
                <c:pt idx="2">
                  <c:v>2026-01</c:v>
                </c:pt>
              </c:strCache>
            </c:strRef>
          </c:cat>
          <c:val>
            <c:numRef>
              <c:f>'Monthly Trends'!$B$4:$B$6</c:f>
              <c:numCache>
                <c:formatCode>\$#,##0.00</c:formatCode>
                <c:ptCount val="3"/>
                <c:pt idx="0">
                  <c:v>9877.73</c:v>
                </c:pt>
                <c:pt idx="1">
                  <c:v>10549.33</c:v>
                </c:pt>
                <c:pt idx="2">
                  <c:v>11282.12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981-504E-9DAB-1BE72C955362}"/>
            </c:ext>
          </c:extLst>
        </c:ser>
        <c:ser>
          <c:idx val="1"/>
          <c:order val="1"/>
          <c:tx>
            <c:strRef>
              <c:f>'Monthly Trends'!$C$3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'Monthly Trends'!$A$4:$A$6</c:f>
              <c:strCache>
                <c:ptCount val="3"/>
                <c:pt idx="0">
                  <c:v>2025-11</c:v>
                </c:pt>
                <c:pt idx="1">
                  <c:v>2025-12</c:v>
                </c:pt>
                <c:pt idx="2">
                  <c:v>2026-01</c:v>
                </c:pt>
              </c:strCache>
            </c:strRef>
          </c:cat>
          <c:val>
            <c:numRef>
              <c:f>'Monthly Trends'!$C$4:$C$6</c:f>
              <c:numCache>
                <c:formatCode>\$#,##0.00</c:formatCode>
                <c:ptCount val="3"/>
                <c:pt idx="0">
                  <c:v>9877.73</c:v>
                </c:pt>
                <c:pt idx="1">
                  <c:v>10549.33</c:v>
                </c:pt>
                <c:pt idx="2">
                  <c:v>11282.12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981-504E-9DAB-1BE72C955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Cost ($)</a:t>
                </a:r>
              </a:p>
            </c:rich>
          </c:tx>
          <c:overlay val="1"/>
        </c:title>
        <c:numFmt formatCode="\$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528053</xdr:colOff>
      <xdr:row>8</xdr:row>
      <xdr:rowOff>13368</xdr:rowOff>
    </xdr:from>
    <xdr:ext cx="64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"/>
  <sheetViews>
    <sheetView zoomScale="180" zoomScaleNormal="180" workbookViewId="0">
      <selection sqref="A1:G1"/>
    </sheetView>
  </sheetViews>
  <sheetFormatPr baseColWidth="10" defaultColWidth="8.83203125" defaultRowHeight="15" x14ac:dyDescent="0.2"/>
  <cols>
    <col min="1" max="1" width="18" customWidth="1"/>
    <col min="2" max="2" width="20" customWidth="1"/>
    <col min="3" max="3" width="12" customWidth="1"/>
    <col min="4" max="4" width="20" customWidth="1"/>
    <col min="5" max="5" width="18" customWidth="1"/>
    <col min="6" max="6" width="15" customWidth="1"/>
    <col min="7" max="7" width="12" customWidth="1"/>
  </cols>
  <sheetData>
    <row r="1" spans="1:7" ht="24" x14ac:dyDescent="0.3">
      <c r="A1" s="24" t="s">
        <v>0</v>
      </c>
      <c r="B1" s="25"/>
      <c r="C1" s="25"/>
      <c r="D1" s="25"/>
      <c r="E1" s="25"/>
      <c r="F1" s="25"/>
      <c r="G1" s="25"/>
    </row>
    <row r="3" spans="1:7" x14ac:dyDescent="0.2">
      <c r="A3" s="1" t="s">
        <v>1</v>
      </c>
      <c r="B3" t="s">
        <v>2</v>
      </c>
    </row>
    <row r="4" spans="1:7" x14ac:dyDescent="0.2">
      <c r="A4" s="1" t="s">
        <v>3</v>
      </c>
      <c r="B4" t="s">
        <v>4</v>
      </c>
    </row>
    <row r="5" spans="1:7" x14ac:dyDescent="0.2">
      <c r="A5" s="1" t="s">
        <v>5</v>
      </c>
      <c r="B5" t="s">
        <v>6</v>
      </c>
    </row>
    <row r="8" spans="1:7" ht="19" x14ac:dyDescent="0.25">
      <c r="A8" s="2" t="s">
        <v>7</v>
      </c>
    </row>
    <row r="10" spans="1:7" x14ac:dyDescent="0.2">
      <c r="B10" s="3" t="s">
        <v>8</v>
      </c>
      <c r="D10" s="3" t="s">
        <v>9</v>
      </c>
      <c r="F10" s="3" t="s">
        <v>10</v>
      </c>
    </row>
    <row r="11" spans="1:7" ht="31" x14ac:dyDescent="0.35">
      <c r="B11" s="4" t="s">
        <v>11</v>
      </c>
      <c r="D11" s="4">
        <v>24</v>
      </c>
      <c r="F11" s="4">
        <v>1</v>
      </c>
    </row>
    <row r="14" spans="1:7" ht="16" x14ac:dyDescent="0.2">
      <c r="A14" s="5" t="s">
        <v>12</v>
      </c>
      <c r="E14" s="5" t="s">
        <v>13</v>
      </c>
    </row>
    <row r="15" spans="1:7" x14ac:dyDescent="0.2">
      <c r="A15" s="6" t="s">
        <v>14</v>
      </c>
      <c r="B15" s="6" t="s">
        <v>15</v>
      </c>
      <c r="C15" s="6" t="s">
        <v>16</v>
      </c>
      <c r="E15" s="6" t="s">
        <v>17</v>
      </c>
      <c r="F15" s="6" t="s">
        <v>15</v>
      </c>
      <c r="G15" s="6" t="s">
        <v>16</v>
      </c>
    </row>
    <row r="16" spans="1:7" x14ac:dyDescent="0.2">
      <c r="A16" s="7" t="s">
        <v>6</v>
      </c>
      <c r="B16" s="8">
        <v>31709.18</v>
      </c>
      <c r="C16" s="9">
        <v>0.93683234935325577</v>
      </c>
      <c r="E16" s="7" t="s">
        <v>18</v>
      </c>
      <c r="F16" s="8">
        <v>7905.11</v>
      </c>
      <c r="G16" s="9">
        <v>0.2335526422693969</v>
      </c>
    </row>
    <row r="17" spans="5:7" x14ac:dyDescent="0.2">
      <c r="E17" s="7" t="s">
        <v>19</v>
      </c>
      <c r="F17" s="8">
        <v>1537.01</v>
      </c>
      <c r="G17" s="9">
        <v>4.5410215252474122E-2</v>
      </c>
    </row>
    <row r="18" spans="5:7" x14ac:dyDescent="0.2">
      <c r="E18" s="7" t="s">
        <v>20</v>
      </c>
      <c r="F18" s="8">
        <v>14464.08</v>
      </c>
      <c r="G18" s="9">
        <v>0.4273342308957041</v>
      </c>
    </row>
    <row r="19" spans="5:7" x14ac:dyDescent="0.2">
      <c r="E19" s="7" t="s">
        <v>21</v>
      </c>
      <c r="F19" s="8">
        <v>4369.68</v>
      </c>
      <c r="G19" s="9">
        <v>0.129100077022551</v>
      </c>
    </row>
    <row r="20" spans="5:7" x14ac:dyDescent="0.2">
      <c r="E20" s="7" t="s">
        <v>22</v>
      </c>
      <c r="F20" s="8">
        <v>3433.3</v>
      </c>
      <c r="G20" s="9">
        <v>0.1014351839131296</v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zoomScale="200" zoomScaleNormal="200" workbookViewId="0">
      <selection sqref="A1:F1"/>
    </sheetView>
  </sheetViews>
  <sheetFormatPr baseColWidth="10" defaultColWidth="8.83203125" defaultRowHeight="15" x14ac:dyDescent="0.2"/>
  <cols>
    <col min="1" max="1" width="40" customWidth="1"/>
    <col min="2" max="3" width="15" customWidth="1"/>
  </cols>
  <sheetData>
    <row r="1" spans="1:6" ht="24" x14ac:dyDescent="0.3">
      <c r="A1" s="24" t="s">
        <v>23</v>
      </c>
      <c r="B1" s="25"/>
      <c r="C1" s="25"/>
      <c r="D1" s="25"/>
      <c r="E1" s="25"/>
      <c r="F1" s="25"/>
    </row>
    <row r="3" spans="1:6" ht="19" x14ac:dyDescent="0.25">
      <c r="A3" s="26" t="s">
        <v>24</v>
      </c>
      <c r="B3" s="25"/>
      <c r="C3" s="25"/>
      <c r="D3" s="25"/>
    </row>
    <row r="4" spans="1:6" x14ac:dyDescent="0.2">
      <c r="A4" s="10" t="s">
        <v>25</v>
      </c>
      <c r="B4" s="10" t="s">
        <v>15</v>
      </c>
      <c r="C4" s="10" t="s">
        <v>26</v>
      </c>
    </row>
    <row r="5" spans="1:6" x14ac:dyDescent="0.2">
      <c r="A5" s="7" t="s">
        <v>27</v>
      </c>
      <c r="B5" s="8">
        <v>14464.08</v>
      </c>
      <c r="C5" s="9">
        <v>0.45614803031803408</v>
      </c>
    </row>
    <row r="6" spans="1:6" x14ac:dyDescent="0.2">
      <c r="A6" s="7" t="s">
        <v>28</v>
      </c>
      <c r="B6" s="8">
        <v>6703.9</v>
      </c>
      <c r="C6" s="9">
        <v>0.21141827067114319</v>
      </c>
    </row>
    <row r="7" spans="1:6" x14ac:dyDescent="0.2">
      <c r="A7" s="7" t="s">
        <v>29</v>
      </c>
      <c r="B7" s="8">
        <v>4369.68</v>
      </c>
      <c r="C7" s="9">
        <v>0.13780488804819299</v>
      </c>
    </row>
    <row r="8" spans="1:6" x14ac:dyDescent="0.2">
      <c r="A8" s="7" t="s">
        <v>30</v>
      </c>
      <c r="B8" s="8">
        <v>2787.64</v>
      </c>
      <c r="C8" s="9">
        <v>8.7912711713137956E-2</v>
      </c>
    </row>
    <row r="9" spans="1:6" x14ac:dyDescent="0.2">
      <c r="A9" s="7" t="s">
        <v>31</v>
      </c>
      <c r="B9" s="8">
        <v>1537.01</v>
      </c>
      <c r="C9" s="9">
        <v>4.8472082847932363E-2</v>
      </c>
    </row>
    <row r="10" spans="1:6" x14ac:dyDescent="0.2">
      <c r="A10" s="7" t="s">
        <v>32</v>
      </c>
      <c r="B10" s="8">
        <v>1201.21</v>
      </c>
      <c r="C10" s="9">
        <v>3.7882089666147152E-2</v>
      </c>
    </row>
    <row r="11" spans="1:6" x14ac:dyDescent="0.2">
      <c r="A11" s="7" t="s">
        <v>33</v>
      </c>
      <c r="B11" s="8">
        <v>645.66000000000008</v>
      </c>
      <c r="C11" s="9">
        <v>2.0361926735412272E-2</v>
      </c>
    </row>
  </sheetData>
  <mergeCells count="2">
    <mergeCell ref="A1:F1"/>
    <mergeCell ref="A3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5"/>
  <sheetViews>
    <sheetView zoomScale="190" zoomScaleNormal="190" workbookViewId="0">
      <selection sqref="A1:F1"/>
    </sheetView>
  </sheetViews>
  <sheetFormatPr baseColWidth="10" defaultColWidth="8.83203125" defaultRowHeight="15" x14ac:dyDescent="0.2"/>
  <cols>
    <col min="1" max="1" width="20" customWidth="1"/>
    <col min="2" max="3" width="15" customWidth="1"/>
  </cols>
  <sheetData>
    <row r="1" spans="1:6" ht="24" x14ac:dyDescent="0.3">
      <c r="A1" s="24" t="s">
        <v>34</v>
      </c>
      <c r="B1" s="25"/>
      <c r="C1" s="25"/>
      <c r="D1" s="25"/>
      <c r="E1" s="25"/>
      <c r="F1" s="25"/>
    </row>
    <row r="3" spans="1:6" ht="19" x14ac:dyDescent="0.25">
      <c r="A3" s="26" t="s">
        <v>35</v>
      </c>
      <c r="B3" s="25"/>
      <c r="C3" s="25"/>
      <c r="D3" s="25"/>
    </row>
    <row r="4" spans="1:6" x14ac:dyDescent="0.2">
      <c r="A4" s="10" t="s">
        <v>14</v>
      </c>
      <c r="B4" s="10" t="s">
        <v>15</v>
      </c>
      <c r="C4" s="10" t="s">
        <v>36</v>
      </c>
    </row>
    <row r="5" spans="1:6" x14ac:dyDescent="0.2">
      <c r="A5" s="7" t="s">
        <v>6</v>
      </c>
      <c r="B5" s="8">
        <v>7905.11</v>
      </c>
      <c r="C5" s="9">
        <v>1</v>
      </c>
    </row>
    <row r="8" spans="1:6" ht="19" x14ac:dyDescent="0.25">
      <c r="A8" s="26" t="s">
        <v>37</v>
      </c>
      <c r="B8" s="25"/>
      <c r="C8" s="25"/>
      <c r="D8" s="25"/>
    </row>
    <row r="9" spans="1:6" x14ac:dyDescent="0.2">
      <c r="A9" s="10" t="s">
        <v>14</v>
      </c>
      <c r="B9" s="10" t="s">
        <v>15</v>
      </c>
      <c r="C9" s="10" t="s">
        <v>36</v>
      </c>
    </row>
    <row r="10" spans="1:6" x14ac:dyDescent="0.2">
      <c r="A10" s="7" t="s">
        <v>6</v>
      </c>
      <c r="B10" s="8">
        <v>1537.01</v>
      </c>
      <c r="C10" s="9">
        <v>1</v>
      </c>
    </row>
    <row r="13" spans="1:6" ht="19" x14ac:dyDescent="0.25">
      <c r="A13" s="26" t="s">
        <v>38</v>
      </c>
      <c r="B13" s="25"/>
      <c r="C13" s="25"/>
      <c r="D13" s="25"/>
    </row>
    <row r="14" spans="1:6" x14ac:dyDescent="0.2">
      <c r="A14" s="10" t="s">
        <v>14</v>
      </c>
      <c r="B14" s="10" t="s">
        <v>15</v>
      </c>
      <c r="C14" s="10" t="s">
        <v>36</v>
      </c>
    </row>
    <row r="15" spans="1:6" x14ac:dyDescent="0.2">
      <c r="A15" s="7" t="s">
        <v>6</v>
      </c>
      <c r="B15" s="8">
        <v>14464.08</v>
      </c>
      <c r="C15" s="9">
        <v>1</v>
      </c>
    </row>
    <row r="18" spans="1:4" ht="19" x14ac:dyDescent="0.25">
      <c r="A18" s="26" t="s">
        <v>39</v>
      </c>
      <c r="B18" s="25"/>
      <c r="C18" s="25"/>
      <c r="D18" s="25"/>
    </row>
    <row r="19" spans="1:4" x14ac:dyDescent="0.2">
      <c r="A19" s="10" t="s">
        <v>14</v>
      </c>
      <c r="B19" s="10" t="s">
        <v>15</v>
      </c>
      <c r="C19" s="10" t="s">
        <v>36</v>
      </c>
    </row>
    <row r="20" spans="1:4" x14ac:dyDescent="0.2">
      <c r="A20" s="7" t="s">
        <v>6</v>
      </c>
      <c r="B20" s="8">
        <v>4369.68</v>
      </c>
      <c r="C20" s="9">
        <v>1</v>
      </c>
    </row>
    <row r="23" spans="1:4" ht="19" x14ac:dyDescent="0.25">
      <c r="A23" s="26" t="s">
        <v>40</v>
      </c>
      <c r="B23" s="25"/>
      <c r="C23" s="25"/>
      <c r="D23" s="25"/>
    </row>
    <row r="24" spans="1:4" x14ac:dyDescent="0.2">
      <c r="A24" s="10" t="s">
        <v>14</v>
      </c>
      <c r="B24" s="10" t="s">
        <v>15</v>
      </c>
      <c r="C24" s="10" t="s">
        <v>36</v>
      </c>
    </row>
    <row r="25" spans="1:4" x14ac:dyDescent="0.2">
      <c r="A25" s="7" t="s">
        <v>6</v>
      </c>
      <c r="B25" s="8">
        <v>3433.3</v>
      </c>
      <c r="C25" s="9">
        <v>1</v>
      </c>
    </row>
  </sheetData>
  <mergeCells count="6">
    <mergeCell ref="A23:D23"/>
    <mergeCell ref="A18:D18"/>
    <mergeCell ref="A8:D8"/>
    <mergeCell ref="A1:F1"/>
    <mergeCell ref="A3:D3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"/>
  <sheetViews>
    <sheetView zoomScale="210" zoomScaleNormal="210" workbookViewId="0">
      <selection sqref="A1:F1"/>
    </sheetView>
  </sheetViews>
  <sheetFormatPr baseColWidth="10" defaultColWidth="8.83203125" defaultRowHeight="15" x14ac:dyDescent="0.2"/>
  <cols>
    <col min="1" max="1" width="45" customWidth="1"/>
    <col min="2" max="2" width="12" customWidth="1"/>
    <col min="3" max="3" width="20" customWidth="1"/>
    <col min="4" max="4" width="15" customWidth="1"/>
    <col min="5" max="5" width="12" customWidth="1"/>
  </cols>
  <sheetData>
    <row r="1" spans="1:6" ht="24" x14ac:dyDescent="0.3">
      <c r="A1" s="24" t="s">
        <v>41</v>
      </c>
      <c r="B1" s="25"/>
      <c r="C1" s="25"/>
      <c r="D1" s="25"/>
      <c r="E1" s="25"/>
      <c r="F1" s="25"/>
    </row>
    <row r="3" spans="1:6" x14ac:dyDescent="0.2">
      <c r="A3" s="6" t="s">
        <v>25</v>
      </c>
      <c r="B3" s="6" t="s">
        <v>14</v>
      </c>
      <c r="C3" s="6" t="s">
        <v>17</v>
      </c>
      <c r="D3" s="6" t="s">
        <v>15</v>
      </c>
      <c r="E3" s="6" t="s">
        <v>16</v>
      </c>
    </row>
    <row r="4" spans="1:6" x14ac:dyDescent="0.2">
      <c r="A4" s="11" t="s">
        <v>27</v>
      </c>
      <c r="B4" s="11" t="s">
        <v>6</v>
      </c>
      <c r="C4" s="11" t="s">
        <v>20</v>
      </c>
      <c r="D4" s="12">
        <v>14464.08</v>
      </c>
      <c r="E4" s="13">
        <v>0.4273342308957041</v>
      </c>
    </row>
    <row r="5" spans="1:6" x14ac:dyDescent="0.2">
      <c r="A5" s="7" t="s">
        <v>28</v>
      </c>
      <c r="B5" s="7" t="s">
        <v>6</v>
      </c>
      <c r="C5" s="7" t="s">
        <v>18</v>
      </c>
      <c r="D5" s="8">
        <v>6703.9</v>
      </c>
      <c r="E5" s="9">
        <v>0.1980634752090496</v>
      </c>
    </row>
    <row r="6" spans="1:6" x14ac:dyDescent="0.2">
      <c r="A6" s="7" t="s">
        <v>29</v>
      </c>
      <c r="B6" s="7" t="s">
        <v>6</v>
      </c>
      <c r="C6" s="7" t="s">
        <v>21</v>
      </c>
      <c r="D6" s="8">
        <v>4369.68</v>
      </c>
      <c r="E6" s="9">
        <v>0.129100077022551</v>
      </c>
    </row>
    <row r="7" spans="1:6" x14ac:dyDescent="0.2">
      <c r="A7" s="7" t="s">
        <v>30</v>
      </c>
      <c r="B7" s="7" t="s">
        <v>6</v>
      </c>
      <c r="C7" s="7" t="s">
        <v>22</v>
      </c>
      <c r="D7" s="8">
        <v>2787.64</v>
      </c>
      <c r="E7" s="9">
        <v>8.2359472252234514E-2</v>
      </c>
    </row>
    <row r="8" spans="1:6" x14ac:dyDescent="0.2">
      <c r="A8" s="7" t="s">
        <v>31</v>
      </c>
      <c r="B8" s="7" t="s">
        <v>6</v>
      </c>
      <c r="C8" s="7" t="s">
        <v>19</v>
      </c>
      <c r="D8" s="8">
        <v>1537.01</v>
      </c>
      <c r="E8" s="9">
        <v>4.5410215252474122E-2</v>
      </c>
    </row>
    <row r="9" spans="1:6" x14ac:dyDescent="0.2">
      <c r="A9" s="7" t="s">
        <v>32</v>
      </c>
      <c r="B9" s="7" t="s">
        <v>6</v>
      </c>
      <c r="C9" s="7" t="s">
        <v>18</v>
      </c>
      <c r="D9" s="8">
        <v>1201.21</v>
      </c>
      <c r="E9" s="9">
        <v>3.5489167060347333E-2</v>
      </c>
    </row>
    <row r="10" spans="1:6" x14ac:dyDescent="0.2">
      <c r="A10" s="7" t="s">
        <v>33</v>
      </c>
      <c r="B10" s="7" t="s">
        <v>6</v>
      </c>
      <c r="C10" s="7" t="s">
        <v>22</v>
      </c>
      <c r="D10" s="8">
        <v>645.66000000000008</v>
      </c>
      <c r="E10" s="9">
        <v>1.907571166089515E-2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"/>
  <sheetViews>
    <sheetView zoomScale="190" zoomScaleNormal="190" workbookViewId="0">
      <selection activeCell="B4" sqref="B4"/>
    </sheetView>
  </sheetViews>
  <sheetFormatPr baseColWidth="10" defaultColWidth="8.83203125" defaultRowHeight="15" x14ac:dyDescent="0.2"/>
  <cols>
    <col min="1" max="1" width="12" customWidth="1"/>
    <col min="2" max="3" width="14" customWidth="1"/>
  </cols>
  <sheetData>
    <row r="1" spans="1:6" ht="24" x14ac:dyDescent="0.3">
      <c r="A1" s="24" t="s">
        <v>42</v>
      </c>
      <c r="B1" s="25"/>
      <c r="C1" s="25"/>
      <c r="D1" s="25"/>
      <c r="E1" s="25"/>
      <c r="F1" s="25"/>
    </row>
    <row r="3" spans="1:6" x14ac:dyDescent="0.2">
      <c r="A3" s="14" t="s">
        <v>43</v>
      </c>
      <c r="B3" s="14" t="s">
        <v>6</v>
      </c>
      <c r="C3" s="14" t="s">
        <v>44</v>
      </c>
    </row>
    <row r="4" spans="1:6" x14ac:dyDescent="0.2">
      <c r="A4" s="7" t="s">
        <v>45</v>
      </c>
      <c r="B4" s="8">
        <v>9877.73</v>
      </c>
      <c r="C4" s="15">
        <v>9877.73</v>
      </c>
    </row>
    <row r="5" spans="1:6" x14ac:dyDescent="0.2">
      <c r="A5" s="7" t="s">
        <v>46</v>
      </c>
      <c r="B5" s="8">
        <v>10549.33</v>
      </c>
      <c r="C5" s="15">
        <v>10549.33</v>
      </c>
    </row>
    <row r="6" spans="1:6" x14ac:dyDescent="0.2">
      <c r="A6" s="7" t="s">
        <v>47</v>
      </c>
      <c r="B6" s="8">
        <v>11282.12</v>
      </c>
      <c r="C6" s="15">
        <v>11282.12</v>
      </c>
    </row>
  </sheetData>
  <mergeCells count="1">
    <mergeCell ref="A1:F1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8"/>
  <sheetViews>
    <sheetView zoomScale="180" zoomScaleNormal="180" workbookViewId="0">
      <selection sqref="A1:G1"/>
    </sheetView>
  </sheetViews>
  <sheetFormatPr baseColWidth="10" defaultColWidth="8.83203125" defaultRowHeight="15" x14ac:dyDescent="0.2"/>
  <cols>
    <col min="1" max="1" width="10" customWidth="1"/>
    <col min="2" max="2" width="30" customWidth="1"/>
    <col min="3" max="3" width="18" customWidth="1"/>
    <col min="4" max="4" width="14" customWidth="1"/>
    <col min="5" max="5" width="16" customWidth="1"/>
    <col min="6" max="6" width="14" customWidth="1"/>
    <col min="7" max="7" width="50" customWidth="1"/>
  </cols>
  <sheetData>
    <row r="1" spans="1:7" ht="24" x14ac:dyDescent="0.3">
      <c r="A1" s="24" t="s">
        <v>48</v>
      </c>
      <c r="B1" s="25"/>
      <c r="C1" s="25"/>
      <c r="D1" s="25"/>
      <c r="E1" s="25"/>
      <c r="F1" s="25"/>
      <c r="G1" s="25"/>
    </row>
    <row r="3" spans="1:7" ht="21" x14ac:dyDescent="0.25">
      <c r="A3" s="16" t="s">
        <v>49</v>
      </c>
      <c r="B3" s="17">
        <v>7231.15</v>
      </c>
      <c r="D3" s="16" t="s">
        <v>50</v>
      </c>
    </row>
    <row r="6" spans="1:7" ht="16" x14ac:dyDescent="0.2">
      <c r="A6" s="18" t="s">
        <v>51</v>
      </c>
      <c r="B6" s="18" t="s">
        <v>52</v>
      </c>
      <c r="C6" s="18" t="s">
        <v>17</v>
      </c>
      <c r="D6" s="18" t="s">
        <v>53</v>
      </c>
      <c r="E6" s="18" t="s">
        <v>54</v>
      </c>
      <c r="F6" s="18" t="s">
        <v>55</v>
      </c>
      <c r="G6" s="18" t="s">
        <v>56</v>
      </c>
    </row>
    <row r="7" spans="1:7" ht="45" customHeight="1" x14ac:dyDescent="0.2">
      <c r="A7" s="19" t="s">
        <v>57</v>
      </c>
      <c r="B7" s="7" t="s">
        <v>58</v>
      </c>
      <c r="C7" s="7" t="s">
        <v>59</v>
      </c>
      <c r="D7" s="8">
        <v>18833.759999999998</v>
      </c>
      <c r="E7" s="20">
        <v>5650.13</v>
      </c>
      <c r="F7" s="21">
        <v>0.3</v>
      </c>
      <c r="G7" s="22" t="s">
        <v>60</v>
      </c>
    </row>
    <row r="8" spans="1:7" ht="45" customHeight="1" x14ac:dyDescent="0.2">
      <c r="A8" s="23" t="s">
        <v>61</v>
      </c>
      <c r="B8" s="7" t="s">
        <v>62</v>
      </c>
      <c r="C8" s="7" t="s">
        <v>18</v>
      </c>
      <c r="D8" s="8">
        <v>7905.11</v>
      </c>
      <c r="E8" s="20">
        <v>1581.02</v>
      </c>
      <c r="F8" s="21">
        <v>0.2</v>
      </c>
      <c r="G8" s="22" t="s">
        <v>63</v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7"/>
  <sheetViews>
    <sheetView tabSelected="1" zoomScale="160" zoomScaleNormal="160" workbookViewId="0">
      <selection activeCell="D43" sqref="D42:D43"/>
    </sheetView>
  </sheetViews>
  <sheetFormatPr baseColWidth="10" defaultColWidth="8.83203125" defaultRowHeight="15" x14ac:dyDescent="0.2"/>
  <cols>
    <col min="1" max="1" width="10" customWidth="1"/>
    <col min="2" max="2" width="15" customWidth="1"/>
    <col min="3" max="3" width="35" customWidth="1"/>
    <col min="4" max="4" width="18" customWidth="1"/>
    <col min="5" max="5" width="12" customWidth="1"/>
    <col min="6" max="6" width="10" customWidth="1"/>
    <col min="7" max="8" width="12" customWidth="1"/>
    <col min="9" max="9" width="15" customWidth="1"/>
    <col min="10" max="10" width="12" customWidth="1"/>
    <col min="11" max="11" width="15" customWidth="1"/>
  </cols>
  <sheetData>
    <row r="1" spans="1:11" ht="24" x14ac:dyDescent="0.3">
      <c r="A1" s="24" t="s">
        <v>64</v>
      </c>
      <c r="B1" s="25"/>
      <c r="C1" s="25"/>
      <c r="D1" s="25"/>
      <c r="E1" s="25"/>
      <c r="F1" s="25"/>
      <c r="G1" s="25"/>
      <c r="H1" s="25"/>
      <c r="I1" s="25"/>
      <c r="J1" s="25"/>
    </row>
    <row r="3" spans="1:11" x14ac:dyDescent="0.2">
      <c r="A3" s="14" t="s">
        <v>14</v>
      </c>
      <c r="B3" s="14" t="s">
        <v>65</v>
      </c>
      <c r="C3" s="14" t="s">
        <v>25</v>
      </c>
      <c r="D3" s="14" t="s">
        <v>17</v>
      </c>
      <c r="E3" s="14" t="s">
        <v>15</v>
      </c>
      <c r="F3" s="14" t="s">
        <v>66</v>
      </c>
      <c r="G3" s="14" t="s">
        <v>67</v>
      </c>
      <c r="H3" s="14" t="s">
        <v>68</v>
      </c>
      <c r="I3" s="14" t="s">
        <v>69</v>
      </c>
      <c r="J3" s="14" t="s">
        <v>70</v>
      </c>
      <c r="K3" s="14" t="s">
        <v>71</v>
      </c>
    </row>
    <row r="4" spans="1:11" x14ac:dyDescent="0.2">
      <c r="A4" s="7" t="s">
        <v>72</v>
      </c>
      <c r="B4" s="7"/>
      <c r="C4" s="7" t="s">
        <v>27</v>
      </c>
      <c r="D4" s="7" t="s">
        <v>73</v>
      </c>
      <c r="E4" s="8">
        <v>2876.54</v>
      </c>
      <c r="F4" s="7"/>
      <c r="G4" s="7" t="s">
        <v>74</v>
      </c>
      <c r="H4" s="7"/>
      <c r="I4" s="7">
        <v>28765.4</v>
      </c>
      <c r="J4" s="7" t="s">
        <v>75</v>
      </c>
      <c r="K4" s="7" t="s">
        <v>76</v>
      </c>
    </row>
    <row r="5" spans="1:11" x14ac:dyDescent="0.2">
      <c r="A5" s="7" t="s">
        <v>72</v>
      </c>
      <c r="B5" s="7"/>
      <c r="C5" s="7" t="s">
        <v>27</v>
      </c>
      <c r="D5" s="7" t="s">
        <v>73</v>
      </c>
      <c r="E5" s="8">
        <v>3045.67</v>
      </c>
      <c r="F5" s="7"/>
      <c r="G5" s="7" t="s">
        <v>77</v>
      </c>
      <c r="H5" s="7"/>
      <c r="I5" s="7">
        <v>30456.7</v>
      </c>
      <c r="J5" s="7" t="s">
        <v>75</v>
      </c>
      <c r="K5" s="7" t="s">
        <v>76</v>
      </c>
    </row>
    <row r="6" spans="1:11" x14ac:dyDescent="0.2">
      <c r="A6" s="7" t="s">
        <v>72</v>
      </c>
      <c r="B6" s="7"/>
      <c r="C6" s="7" t="s">
        <v>27</v>
      </c>
      <c r="D6" s="7" t="s">
        <v>73</v>
      </c>
      <c r="E6" s="8">
        <v>3245.67</v>
      </c>
      <c r="F6" s="7"/>
      <c r="G6" s="7" t="s">
        <v>78</v>
      </c>
      <c r="H6" s="7"/>
      <c r="I6" s="7">
        <v>32456.7</v>
      </c>
      <c r="J6" s="7" t="s">
        <v>75</v>
      </c>
      <c r="K6" s="7" t="s">
        <v>76</v>
      </c>
    </row>
    <row r="7" spans="1:11" x14ac:dyDescent="0.2">
      <c r="A7" s="7" t="s">
        <v>72</v>
      </c>
      <c r="B7" s="7"/>
      <c r="C7" s="7" t="s">
        <v>27</v>
      </c>
      <c r="D7" s="7" t="s">
        <v>73</v>
      </c>
      <c r="E7" s="8">
        <v>1654.32</v>
      </c>
      <c r="F7" s="7"/>
      <c r="G7" s="7" t="s">
        <v>74</v>
      </c>
      <c r="H7" s="7"/>
      <c r="I7" s="7">
        <v>16543.2</v>
      </c>
      <c r="J7" s="7" t="s">
        <v>75</v>
      </c>
      <c r="K7" s="7" t="s">
        <v>79</v>
      </c>
    </row>
    <row r="8" spans="1:11" x14ac:dyDescent="0.2">
      <c r="A8" s="7" t="s">
        <v>72</v>
      </c>
      <c r="B8" s="7"/>
      <c r="C8" s="7" t="s">
        <v>27</v>
      </c>
      <c r="D8" s="7" t="s">
        <v>73</v>
      </c>
      <c r="E8" s="8">
        <v>1765.43</v>
      </c>
      <c r="F8" s="7"/>
      <c r="G8" s="7" t="s">
        <v>77</v>
      </c>
      <c r="H8" s="7"/>
      <c r="I8" s="7">
        <v>17654.3</v>
      </c>
      <c r="J8" s="7" t="s">
        <v>75</v>
      </c>
      <c r="K8" s="7" t="s">
        <v>79</v>
      </c>
    </row>
    <row r="9" spans="1:11" x14ac:dyDescent="0.2">
      <c r="A9" s="7" t="s">
        <v>72</v>
      </c>
      <c r="B9" s="7"/>
      <c r="C9" s="7" t="s">
        <v>27</v>
      </c>
      <c r="D9" s="7" t="s">
        <v>73</v>
      </c>
      <c r="E9" s="8">
        <v>1876.45</v>
      </c>
      <c r="F9" s="7"/>
      <c r="G9" s="7" t="s">
        <v>78</v>
      </c>
      <c r="H9" s="7"/>
      <c r="I9" s="7">
        <v>18764.5</v>
      </c>
      <c r="J9" s="7" t="s">
        <v>75</v>
      </c>
      <c r="K9" s="7" t="s">
        <v>79</v>
      </c>
    </row>
    <row r="10" spans="1:11" x14ac:dyDescent="0.2">
      <c r="A10" s="7" t="s">
        <v>72</v>
      </c>
      <c r="B10" s="7"/>
      <c r="C10" s="7" t="s">
        <v>29</v>
      </c>
      <c r="D10" s="7" t="s">
        <v>80</v>
      </c>
      <c r="E10" s="8">
        <v>1345.67</v>
      </c>
      <c r="F10" s="7"/>
      <c r="G10" s="7" t="s">
        <v>74</v>
      </c>
      <c r="H10" s="7"/>
      <c r="I10" s="7">
        <v>13456.7</v>
      </c>
      <c r="J10" s="7" t="s">
        <v>75</v>
      </c>
      <c r="K10" s="7" t="s">
        <v>76</v>
      </c>
    </row>
    <row r="11" spans="1:11" x14ac:dyDescent="0.2">
      <c r="A11" s="7" t="s">
        <v>72</v>
      </c>
      <c r="B11" s="7"/>
      <c r="C11" s="7" t="s">
        <v>29</v>
      </c>
      <c r="D11" s="7" t="s">
        <v>80</v>
      </c>
      <c r="E11" s="8">
        <v>1456.78</v>
      </c>
      <c r="F11" s="7"/>
      <c r="G11" s="7" t="s">
        <v>77</v>
      </c>
      <c r="H11" s="7"/>
      <c r="I11" s="7">
        <v>14567.8</v>
      </c>
      <c r="J11" s="7" t="s">
        <v>75</v>
      </c>
      <c r="K11" s="7" t="s">
        <v>76</v>
      </c>
    </row>
    <row r="12" spans="1:11" x14ac:dyDescent="0.2">
      <c r="A12" s="7" t="s">
        <v>72</v>
      </c>
      <c r="B12" s="7"/>
      <c r="C12" s="7" t="s">
        <v>29</v>
      </c>
      <c r="D12" s="7" t="s">
        <v>80</v>
      </c>
      <c r="E12" s="8">
        <v>1567.23</v>
      </c>
      <c r="F12" s="7"/>
      <c r="G12" s="7" t="s">
        <v>78</v>
      </c>
      <c r="H12" s="7"/>
      <c r="I12" s="7">
        <v>15672.3</v>
      </c>
      <c r="J12" s="7" t="s">
        <v>75</v>
      </c>
      <c r="K12" s="7" t="s">
        <v>76</v>
      </c>
    </row>
    <row r="13" spans="1:11" x14ac:dyDescent="0.2">
      <c r="A13" s="7" t="s">
        <v>72</v>
      </c>
      <c r="B13" s="7"/>
      <c r="C13" s="7" t="s">
        <v>28</v>
      </c>
      <c r="D13" s="7" t="s">
        <v>81</v>
      </c>
      <c r="E13" s="8">
        <v>2123.4499999999998</v>
      </c>
      <c r="F13" s="7"/>
      <c r="G13" s="7" t="s">
        <v>74</v>
      </c>
      <c r="H13" s="7"/>
      <c r="I13" s="7">
        <v>42469</v>
      </c>
      <c r="J13" s="7" t="s">
        <v>75</v>
      </c>
      <c r="K13" s="7" t="s">
        <v>76</v>
      </c>
    </row>
    <row r="14" spans="1:11" x14ac:dyDescent="0.2">
      <c r="A14" s="7" t="s">
        <v>72</v>
      </c>
      <c r="B14" s="7"/>
      <c r="C14" s="7" t="s">
        <v>28</v>
      </c>
      <c r="D14" s="7" t="s">
        <v>81</v>
      </c>
      <c r="E14" s="8">
        <v>2234.56</v>
      </c>
      <c r="F14" s="7"/>
      <c r="G14" s="7" t="s">
        <v>77</v>
      </c>
      <c r="H14" s="7"/>
      <c r="I14" s="7">
        <v>44691.199999999997</v>
      </c>
      <c r="J14" s="7" t="s">
        <v>75</v>
      </c>
      <c r="K14" s="7" t="s">
        <v>76</v>
      </c>
    </row>
    <row r="15" spans="1:11" x14ac:dyDescent="0.2">
      <c r="A15" s="7" t="s">
        <v>72</v>
      </c>
      <c r="B15" s="7"/>
      <c r="C15" s="7" t="s">
        <v>28</v>
      </c>
      <c r="D15" s="7" t="s">
        <v>81</v>
      </c>
      <c r="E15" s="8">
        <v>2345.89</v>
      </c>
      <c r="F15" s="7"/>
      <c r="G15" s="7" t="s">
        <v>78</v>
      </c>
      <c r="H15" s="7"/>
      <c r="I15" s="7">
        <v>46917.8</v>
      </c>
      <c r="J15" s="7" t="s">
        <v>75</v>
      </c>
      <c r="K15" s="7" t="s">
        <v>76</v>
      </c>
    </row>
    <row r="16" spans="1:11" x14ac:dyDescent="0.2">
      <c r="A16" s="7" t="s">
        <v>72</v>
      </c>
      <c r="B16" s="7"/>
      <c r="C16" s="7" t="s">
        <v>32</v>
      </c>
      <c r="D16" s="7" t="s">
        <v>81</v>
      </c>
      <c r="E16" s="8">
        <v>345.67</v>
      </c>
      <c r="F16" s="7"/>
      <c r="G16" s="7" t="s">
        <v>74</v>
      </c>
      <c r="H16" s="7"/>
      <c r="I16" s="7">
        <v>34567</v>
      </c>
      <c r="J16" s="7" t="s">
        <v>75</v>
      </c>
      <c r="K16" s="7" t="s">
        <v>76</v>
      </c>
    </row>
    <row r="17" spans="1:11" x14ac:dyDescent="0.2">
      <c r="A17" s="7" t="s">
        <v>72</v>
      </c>
      <c r="B17" s="7"/>
      <c r="C17" s="7" t="s">
        <v>32</v>
      </c>
      <c r="D17" s="7" t="s">
        <v>81</v>
      </c>
      <c r="E17" s="8">
        <v>398.76</v>
      </c>
      <c r="F17" s="7"/>
      <c r="G17" s="7" t="s">
        <v>77</v>
      </c>
      <c r="H17" s="7"/>
      <c r="I17" s="7">
        <v>39876</v>
      </c>
      <c r="J17" s="7" t="s">
        <v>75</v>
      </c>
      <c r="K17" s="7" t="s">
        <v>76</v>
      </c>
    </row>
    <row r="18" spans="1:11" x14ac:dyDescent="0.2">
      <c r="A18" s="7" t="s">
        <v>72</v>
      </c>
      <c r="B18" s="7"/>
      <c r="C18" s="7" t="s">
        <v>32</v>
      </c>
      <c r="D18" s="7" t="s">
        <v>81</v>
      </c>
      <c r="E18" s="8">
        <v>456.78</v>
      </c>
      <c r="F18" s="7"/>
      <c r="G18" s="7" t="s">
        <v>78</v>
      </c>
      <c r="H18" s="7"/>
      <c r="I18" s="7">
        <v>45678</v>
      </c>
      <c r="J18" s="7" t="s">
        <v>75</v>
      </c>
      <c r="K18" s="7" t="s">
        <v>76</v>
      </c>
    </row>
    <row r="19" spans="1:11" x14ac:dyDescent="0.2">
      <c r="A19" s="7" t="s">
        <v>72</v>
      </c>
      <c r="B19" s="7"/>
      <c r="C19" s="7" t="s">
        <v>30</v>
      </c>
      <c r="D19" s="7" t="s">
        <v>82</v>
      </c>
      <c r="E19" s="8">
        <v>876.54</v>
      </c>
      <c r="F19" s="7"/>
      <c r="G19" s="7" t="s">
        <v>74</v>
      </c>
      <c r="H19" s="7"/>
      <c r="I19" s="7">
        <v>37840.5</v>
      </c>
      <c r="J19" s="7" t="s">
        <v>75</v>
      </c>
      <c r="K19" s="7" t="s">
        <v>76</v>
      </c>
    </row>
    <row r="20" spans="1:11" x14ac:dyDescent="0.2">
      <c r="A20" s="7" t="s">
        <v>72</v>
      </c>
      <c r="B20" s="7"/>
      <c r="C20" s="7" t="s">
        <v>30</v>
      </c>
      <c r="D20" s="7" t="s">
        <v>82</v>
      </c>
      <c r="E20" s="8">
        <v>923.45</v>
      </c>
      <c r="F20" s="7"/>
      <c r="G20" s="7" t="s">
        <v>77</v>
      </c>
      <c r="H20" s="7"/>
      <c r="I20" s="7">
        <v>39863.4</v>
      </c>
      <c r="J20" s="7" t="s">
        <v>75</v>
      </c>
      <c r="K20" s="7" t="s">
        <v>76</v>
      </c>
    </row>
    <row r="21" spans="1:11" x14ac:dyDescent="0.2">
      <c r="A21" s="7" t="s">
        <v>72</v>
      </c>
      <c r="B21" s="7"/>
      <c r="C21" s="7" t="s">
        <v>30</v>
      </c>
      <c r="D21" s="7" t="s">
        <v>82</v>
      </c>
      <c r="E21" s="8">
        <v>987.65</v>
      </c>
      <c r="F21" s="7"/>
      <c r="G21" s="7" t="s">
        <v>78</v>
      </c>
      <c r="H21" s="7"/>
      <c r="I21" s="7">
        <v>42620.5</v>
      </c>
      <c r="J21" s="7" t="s">
        <v>75</v>
      </c>
      <c r="K21" s="7" t="s">
        <v>76</v>
      </c>
    </row>
    <row r="22" spans="1:11" x14ac:dyDescent="0.2">
      <c r="A22" s="7" t="s">
        <v>72</v>
      </c>
      <c r="B22" s="7"/>
      <c r="C22" s="7" t="s">
        <v>33</v>
      </c>
      <c r="D22" s="7" t="s">
        <v>82</v>
      </c>
      <c r="E22" s="8">
        <v>198.76</v>
      </c>
      <c r="F22" s="7"/>
      <c r="G22" s="7" t="s">
        <v>74</v>
      </c>
      <c r="H22" s="7"/>
      <c r="I22" s="7">
        <v>49690</v>
      </c>
      <c r="J22" s="7" t="s">
        <v>75</v>
      </c>
      <c r="K22" s="7" t="s">
        <v>76</v>
      </c>
    </row>
    <row r="23" spans="1:11" x14ac:dyDescent="0.2">
      <c r="A23" s="7" t="s">
        <v>72</v>
      </c>
      <c r="B23" s="7"/>
      <c r="C23" s="7" t="s">
        <v>33</v>
      </c>
      <c r="D23" s="7" t="s">
        <v>82</v>
      </c>
      <c r="E23" s="8">
        <v>212.34</v>
      </c>
      <c r="F23" s="7"/>
      <c r="G23" s="7" t="s">
        <v>77</v>
      </c>
      <c r="H23" s="7"/>
      <c r="I23" s="7">
        <v>53085</v>
      </c>
      <c r="J23" s="7" t="s">
        <v>75</v>
      </c>
      <c r="K23" s="7" t="s">
        <v>76</v>
      </c>
    </row>
    <row r="24" spans="1:11" x14ac:dyDescent="0.2">
      <c r="A24" s="7" t="s">
        <v>72</v>
      </c>
      <c r="B24" s="7"/>
      <c r="C24" s="7" t="s">
        <v>33</v>
      </c>
      <c r="D24" s="7" t="s">
        <v>82</v>
      </c>
      <c r="E24" s="8">
        <v>234.56</v>
      </c>
      <c r="F24" s="7"/>
      <c r="G24" s="7" t="s">
        <v>78</v>
      </c>
      <c r="H24" s="7"/>
      <c r="I24" s="7">
        <v>58640</v>
      </c>
      <c r="J24" s="7" t="s">
        <v>75</v>
      </c>
      <c r="K24" s="7" t="s">
        <v>76</v>
      </c>
    </row>
    <row r="25" spans="1:11" x14ac:dyDescent="0.2">
      <c r="A25" s="7" t="s">
        <v>72</v>
      </c>
      <c r="B25" s="7"/>
      <c r="C25" s="7" t="s">
        <v>31</v>
      </c>
      <c r="D25" s="7" t="s">
        <v>83</v>
      </c>
      <c r="E25" s="8">
        <v>456.78</v>
      </c>
      <c r="F25" s="7"/>
      <c r="G25" s="7" t="s">
        <v>74</v>
      </c>
      <c r="H25" s="7"/>
      <c r="I25" s="7">
        <v>4567.8</v>
      </c>
      <c r="J25" s="7" t="s">
        <v>84</v>
      </c>
      <c r="K25" s="7" t="s">
        <v>76</v>
      </c>
    </row>
    <row r="26" spans="1:11" x14ac:dyDescent="0.2">
      <c r="A26" s="7" t="s">
        <v>72</v>
      </c>
      <c r="B26" s="7"/>
      <c r="C26" s="7" t="s">
        <v>31</v>
      </c>
      <c r="D26" s="7" t="s">
        <v>83</v>
      </c>
      <c r="E26" s="8">
        <v>512.34</v>
      </c>
      <c r="F26" s="7"/>
      <c r="G26" s="7" t="s">
        <v>77</v>
      </c>
      <c r="H26" s="7"/>
      <c r="I26" s="7">
        <v>5123.3999999999996</v>
      </c>
      <c r="J26" s="7" t="s">
        <v>84</v>
      </c>
      <c r="K26" s="7" t="s">
        <v>76</v>
      </c>
    </row>
    <row r="27" spans="1:11" x14ac:dyDescent="0.2">
      <c r="A27" s="7" t="s">
        <v>72</v>
      </c>
      <c r="B27" s="7"/>
      <c r="C27" s="7" t="s">
        <v>31</v>
      </c>
      <c r="D27" s="7" t="s">
        <v>83</v>
      </c>
      <c r="E27" s="8">
        <v>567.89</v>
      </c>
      <c r="F27" s="7"/>
      <c r="G27" s="7" t="s">
        <v>78</v>
      </c>
      <c r="H27" s="7"/>
      <c r="I27" s="7">
        <v>5678.9</v>
      </c>
      <c r="J27" s="7" t="s">
        <v>84</v>
      </c>
      <c r="K27" s="7" t="s">
        <v>76</v>
      </c>
    </row>
  </sheetData>
  <autoFilter ref="A3:K27" xr:uid="{00000000-0009-0000-0000-000006000000}"/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Executive Summary</vt:lpstr>
      <vt:lpstr>Cost by Provider</vt:lpstr>
      <vt:lpstr>Cost by Category</vt:lpstr>
      <vt:lpstr>Cost by Service</vt:lpstr>
      <vt:lpstr>Monthly Trends</vt:lpstr>
      <vt:lpstr>Cost Optimization</vt:lpstr>
      <vt:lpstr>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Figg</cp:lastModifiedBy>
  <dcterms:created xsi:type="dcterms:W3CDTF">2026-02-11T21:35:26Z</dcterms:created>
  <dcterms:modified xsi:type="dcterms:W3CDTF">2026-02-13T17:18:26Z</dcterms:modified>
</cp:coreProperties>
</file>